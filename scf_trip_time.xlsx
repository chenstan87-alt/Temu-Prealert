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940"/>
  </bookViews>
  <sheets>
    <sheet name="Sheet2" sheetId="2" r:id="rId1"/>
    <sheet name="Sheet1" sheetId="1" r:id="rId2"/>
  </sheets>
  <definedNames>
    <definedName name="_xlnm._FilterDatabase" localSheetId="0" hidden="1">Sheet2!$A$1:$D$45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<sst xmlns="http://schemas.openxmlformats.org/spreadsheetml/2006/main" count="184" uniqueCount="77">
  <si>
    <t>channel</t>
  </si>
  <si>
    <t>trip_time</t>
  </si>
  <si>
    <t>warehouse</t>
  </si>
  <si>
    <t>transfertime</t>
  </si>
  <si>
    <t>route_time</t>
  </si>
  <si>
    <t>miles</t>
  </si>
  <si>
    <r>
      <rPr>
        <sz val="12"/>
        <rFont val="SimSun"/>
        <charset val="134"/>
      </rPr>
      <t>USPS250</t>
    </r>
  </si>
  <si>
    <t>ord</t>
  </si>
  <si>
    <r>
      <rPr>
        <sz val="12"/>
        <rFont val="SimSun"/>
        <charset val="134"/>
      </rPr>
      <t>USPS546</t>
    </r>
  </si>
  <si>
    <r>
      <rPr>
        <sz val="12"/>
        <rFont val="SimSun"/>
        <charset val="134"/>
      </rPr>
      <t>USPS547</t>
    </r>
  </si>
  <si>
    <r>
      <rPr>
        <sz val="12"/>
        <rFont val="SimSun"/>
        <charset val="134"/>
      </rPr>
      <t>USPS550</t>
    </r>
  </si>
  <si>
    <r>
      <rPr>
        <sz val="12"/>
        <rFont val="SimSun"/>
        <charset val="134"/>
      </rPr>
      <t>USPS553</t>
    </r>
  </si>
  <si>
    <r>
      <rPr>
        <sz val="12"/>
        <rFont val="SimSun"/>
        <charset val="134"/>
      </rPr>
      <t>USPS500</t>
    </r>
  </si>
  <si>
    <r>
      <rPr>
        <sz val="12"/>
        <rFont val="SimSun"/>
        <charset val="134"/>
      </rPr>
      <t>USPS506</t>
    </r>
  </si>
  <si>
    <r>
      <rPr>
        <sz val="12"/>
        <rFont val="SimSun"/>
        <charset val="134"/>
      </rPr>
      <t>USPS640</t>
    </r>
  </si>
  <si>
    <r>
      <rPr>
        <sz val="12"/>
        <rFont val="SimSun"/>
        <charset val="134"/>
      </rPr>
      <t>USPS664</t>
    </r>
  </si>
  <si>
    <r>
      <rPr>
        <sz val="12"/>
        <rFont val="SimSun"/>
        <charset val="134"/>
      </rPr>
      <t>USPS380</t>
    </r>
  </si>
  <si>
    <r>
      <rPr>
        <sz val="12"/>
        <rFont val="SimSun"/>
        <charset val="134"/>
      </rPr>
      <t>USPS480</t>
    </r>
  </si>
  <si>
    <r>
      <rPr>
        <sz val="12"/>
        <rFont val="SimSun"/>
        <charset val="134"/>
      </rPr>
      <t>USPS481</t>
    </r>
  </si>
  <si>
    <r>
      <rPr>
        <sz val="12"/>
        <rFont val="SimSun"/>
        <charset val="134"/>
      </rPr>
      <t>USPS484</t>
    </r>
  </si>
  <si>
    <r>
      <rPr>
        <sz val="12"/>
        <rFont val="SimSun"/>
        <charset val="134"/>
      </rPr>
      <t>USPS615</t>
    </r>
  </si>
  <si>
    <r>
      <rPr>
        <sz val="12"/>
        <rFont val="SimSun"/>
        <charset val="134"/>
      </rPr>
      <t>USPS625</t>
    </r>
  </si>
  <si>
    <r>
      <rPr>
        <sz val="12"/>
        <rFont val="SimSun"/>
        <charset val="134"/>
      </rPr>
      <t>USPS630</t>
    </r>
  </si>
  <si>
    <r>
      <rPr>
        <sz val="12"/>
        <rFont val="SimSun"/>
        <charset val="134"/>
      </rPr>
      <t>USPS493</t>
    </r>
  </si>
  <si>
    <r>
      <rPr>
        <sz val="12"/>
        <rFont val="SimSun"/>
        <charset val="134"/>
      </rPr>
      <t>USPS302</t>
    </r>
  </si>
  <si>
    <r>
      <rPr>
        <sz val="12"/>
        <rFont val="SimSun"/>
        <charset val="134"/>
      </rPr>
      <t>USPS350</t>
    </r>
  </si>
  <si>
    <r>
      <rPr>
        <sz val="12"/>
        <rFont val="SimSun"/>
        <charset val="134"/>
      </rPr>
      <t>USPS365</t>
    </r>
  </si>
  <si>
    <t>USPS640</t>
  </si>
  <si>
    <t>USPS664</t>
  </si>
  <si>
    <t>USPS460</t>
  </si>
  <si>
    <t>USPS462</t>
  </si>
  <si>
    <t>USPS430</t>
  </si>
  <si>
    <t>USPS437</t>
  </si>
  <si>
    <t>USPS680</t>
  </si>
  <si>
    <t>USPS357</t>
  </si>
  <si>
    <t>USPS150</t>
  </si>
  <si>
    <t>jfk</t>
  </si>
  <si>
    <t>USPS153</t>
  </si>
  <si>
    <t>USPS175</t>
  </si>
  <si>
    <t>USPS170</t>
  </si>
  <si>
    <t>USPS180</t>
  </si>
  <si>
    <t>USPS184</t>
  </si>
  <si>
    <t>USPS120</t>
  </si>
  <si>
    <t>USPS030</t>
  </si>
  <si>
    <t>USPS270</t>
  </si>
  <si>
    <t>USPS284</t>
  </si>
  <si>
    <t>USPS280</t>
  </si>
  <si>
    <t>USPS290</t>
  </si>
  <si>
    <t>USPS296</t>
  </si>
  <si>
    <t>USPS275</t>
  </si>
  <si>
    <t>USPS240</t>
  </si>
  <si>
    <t>USPS287</t>
  </si>
  <si>
    <t>USPS376</t>
  </si>
  <si>
    <t>USPS050</t>
  </si>
  <si>
    <r>
      <rPr>
        <sz val="12"/>
        <rFont val="SimSun"/>
        <charset val="134"/>
      </rPr>
      <t>SCF address</t>
    </r>
  </si>
  <si>
    <r>
      <rPr>
        <sz val="12"/>
        <rFont val="SimSun"/>
        <charset val="134"/>
      </rPr>
      <t>zip code</t>
    </r>
  </si>
  <si>
    <r>
      <rPr>
        <sz val="12"/>
        <rFont val="SimSun"/>
        <charset val="134"/>
      </rPr>
      <t>路途时间</t>
    </r>
  </si>
  <si>
    <r>
      <rPr>
        <sz val="12"/>
        <rFont val="SimSun"/>
        <charset val="134"/>
      </rPr>
      <t>渠道</t>
    </r>
  </si>
  <si>
    <r>
      <rPr>
        <sz val="12"/>
        <rFont val="SimSun"/>
        <charset val="134"/>
      </rPr>
      <t>1000 CENTRE WAY,SOUTH CHARLESTON,WV,253099426</t>
    </r>
  </si>
  <si>
    <r>
      <rPr>
        <sz val="12"/>
        <rFont val="SimSun"/>
        <charset val="134"/>
      </rPr>
      <t>13hrs</t>
    </r>
  </si>
  <si>
    <r>
      <rPr>
        <sz val="12"/>
        <rFont val="SimSun"/>
        <charset val="134"/>
      </rPr>
      <t>3165 LEXINGTON AVES,EAGAN,Minnesota,551212539</t>
    </r>
  </si>
  <si>
    <r>
      <rPr>
        <sz val="12"/>
        <rFont val="SimSun"/>
        <charset val="134"/>
      </rPr>
      <t>8hrs</t>
    </r>
  </si>
  <si>
    <r>
      <rPr>
        <sz val="12"/>
        <rFont val="SimSun"/>
        <charset val="134"/>
      </rPr>
      <t>4000109TH ST,Des Moines,lowa,50395</t>
    </r>
  </si>
  <si>
    <r>
      <rPr>
        <sz val="12"/>
        <rFont val="SimSun"/>
        <charset val="134"/>
      </rPr>
      <t>9hrs</t>
    </r>
  </si>
  <si>
    <r>
      <rPr>
        <sz val="12"/>
        <rFont val="SimSun"/>
        <charset val="134"/>
      </rPr>
      <t>4900 SPEAKER RD,KANSAS CITY,Kansas,66106</t>
    </r>
  </si>
  <si>
    <r>
      <rPr>
        <sz val="12"/>
        <rFont val="SimSun"/>
        <charset val="134"/>
      </rPr>
      <t>12hrs</t>
    </r>
  </si>
  <si>
    <r>
      <rPr>
        <sz val="12"/>
        <rFont val="SimSun"/>
        <charset val="134"/>
      </rPr>
      <t>1921 ELVIS PRESLEY BLVD.MEMPHIS,Tennessee.38136</t>
    </r>
  </si>
  <si>
    <r>
      <rPr>
        <sz val="12"/>
        <rFont val="SimSun"/>
        <charset val="134"/>
      </rPr>
      <t>14hrs</t>
    </r>
  </si>
  <si>
    <r>
      <rPr>
        <sz val="12"/>
        <rFont val="SimSun"/>
        <charset val="134"/>
      </rPr>
      <t>17500 OAKWOOD BLVD,ALLEN PARK,Michigan,481012775</t>
    </r>
  </si>
  <si>
    <r>
      <rPr>
        <sz val="12"/>
        <rFont val="SimSun"/>
        <charset val="134"/>
      </rPr>
      <t>5800 PHANTOM DR,HAZELWOOD,Missouri,630422487</t>
    </r>
  </si>
  <si>
    <r>
      <rPr>
        <sz val="12"/>
        <rFont val="SimSun"/>
        <charset val="134"/>
      </rPr>
      <t>3500 PATTERSON AVE SE STE A,GRAND RAPIDS,Michigan,495125699</t>
    </r>
  </si>
  <si>
    <r>
      <rPr>
        <sz val="12"/>
        <rFont val="SimSun"/>
        <charset val="134"/>
      </rPr>
      <t>7hrs</t>
    </r>
  </si>
  <si>
    <r>
      <rPr>
        <sz val="12"/>
        <rFont val="SimSun"/>
        <charset val="134"/>
      </rPr>
      <t>600 Palmetto Logistics Pkwy Palmetto,Georgia,30268</t>
    </r>
  </si>
  <si>
    <r>
      <rPr>
        <sz val="12"/>
        <rFont val="SimSun"/>
        <charset val="134"/>
      </rPr>
      <t>17hrs</t>
    </r>
  </si>
  <si>
    <r>
      <rPr>
        <sz val="12"/>
        <rFont val="SimSun"/>
        <charset val="134"/>
      </rPr>
      <t>45001ST AVE S,BIRMINGHAM,AL,35222</t>
    </r>
  </si>
  <si>
    <r>
      <rPr>
        <sz val="12"/>
        <rFont val="SimSun"/>
        <charset val="134"/>
      </rPr>
      <t>251 N ROYAL ST,MOBILE,AL,366029700</t>
    </r>
  </si>
  <si>
    <r>
      <rPr>
        <sz val="12"/>
        <rFont val="SimSun"/>
        <charset val="134"/>
      </rPr>
      <t>24hrs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</si>
</sst>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6">
    <font>
      <sz val="11"/>
      <color rgb="FF000000"/>
      <name val="Arial"/>
      <charset val="204"/>
    </font>
    <font>
      <sz val="12"/>
      <color rgb="FF000000"/>
      <name val="SimSun"/>
      <charset val="134"/>
    </font>
    <font>
      <sz val="12"/>
      <color rgb="FF000000"/>
      <name val="Arial"/>
      <charset val="134"/>
    </font>
    <font>
      <sz val="11"/>
      <color rgb="FF000000"/>
      <name val="宋体-简"/>
      <charset val="20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SimSun"/>
      <charset val="134"/>
    </font>
  </fonts>
  <fills count="43">
    <fill>
      <patternFill patternType="none"/>
    </fill>
    <fill>
      <patternFill patternType="gray125"/>
    </fill>
    <fill>
      <patternFill patternType="solid">
        <fgColor rgb="FFD9E1F3"/>
        <bgColor indexed="64"/>
      </patternFill>
    </fill>
    <fill>
      <patternFill patternType="solid">
        <fgColor rgb="FFE3F2D8"/>
        <bgColor indexed="64"/>
      </patternFill>
    </fill>
    <fill>
      <patternFill patternType="solid">
        <fgColor rgb="FFF4B381"/>
        <bgColor indexed="64"/>
      </patternFill>
    </fill>
    <fill>
      <patternFill patternType="solid">
        <fgColor rgb="FFFCE4D2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D2F4F1"/>
        <bgColor indexed="64"/>
      </patternFill>
    </fill>
    <fill>
      <patternFill patternType="solid">
        <fgColor rgb="FFFFF3C9"/>
        <bgColor indexed="64"/>
      </patternFill>
    </fill>
    <fill>
      <patternFill patternType="solid">
        <fgColor rgb="FFFEDB60"/>
        <bgColor indexed="64"/>
      </patternFill>
    </fill>
    <fill>
      <patternFill patternType="solid">
        <fgColor rgb="FFD0C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7" fillId="1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</cellStyleXfs>
  <cellXfs count="42">
    <xf numFmtId="0" fontId="0" fillId="0" borderId="0" xfId="0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left" vertical="top" wrapText="1"/>
    </xf>
    <xf numFmtId="176" fontId="1" fillId="0" borderId="1" xfId="0" applyNumberFormat="1" applyFont="1" applyFill="1" applyBorder="1" applyAlignment="1">
      <alignment horizontal="center" vertical="top" wrapText="1"/>
    </xf>
    <xf numFmtId="0" fontId="1" fillId="2" borderId="1" xfId="0" applyNumberFormat="1" applyFont="1" applyFill="1" applyBorder="1" applyAlignment="1">
      <alignment horizontal="center" vertical="top" wrapText="1"/>
    </xf>
    <xf numFmtId="0" fontId="1" fillId="3" borderId="1" xfId="0" applyNumberFormat="1" applyFont="1" applyFill="1" applyBorder="1" applyAlignment="1">
      <alignment horizontal="center" vertical="top" wrapText="1"/>
    </xf>
    <xf numFmtId="0" fontId="1" fillId="3" borderId="1" xfId="0" applyNumberFormat="1" applyFont="1" applyFill="1" applyBorder="1" applyAlignment="1">
      <alignment horizontal="left" vertical="top" wrapText="1"/>
    </xf>
    <xf numFmtId="0" fontId="1" fillId="4" borderId="1" xfId="0" applyNumberFormat="1" applyFont="1" applyFill="1" applyBorder="1" applyAlignment="1">
      <alignment horizontal="center" vertical="top" wrapText="1"/>
    </xf>
    <xf numFmtId="0" fontId="1" fillId="5" borderId="1" xfId="0" applyNumberFormat="1" applyFont="1" applyFill="1" applyBorder="1" applyAlignment="1">
      <alignment horizontal="center" vertical="top" wrapText="1"/>
    </xf>
    <xf numFmtId="0" fontId="1" fillId="6" borderId="1" xfId="0" applyNumberFormat="1" applyFont="1" applyFill="1" applyBorder="1" applyAlignment="1">
      <alignment horizontal="center" vertical="top" wrapText="1"/>
    </xf>
    <xf numFmtId="0" fontId="1" fillId="7" borderId="1" xfId="0" applyNumberFormat="1" applyFont="1" applyFill="1" applyBorder="1" applyAlignment="1">
      <alignment horizontal="center" vertical="top" wrapText="1"/>
    </xf>
    <xf numFmtId="0" fontId="1" fillId="8" borderId="1" xfId="0" applyNumberFormat="1" applyFont="1" applyFill="1" applyBorder="1" applyAlignment="1">
      <alignment horizontal="center" vertical="top" wrapText="1"/>
    </xf>
    <xf numFmtId="0" fontId="1" fillId="9" borderId="1" xfId="0" applyNumberFormat="1" applyFont="1" applyFill="1" applyBorder="1" applyAlignment="1">
      <alignment horizontal="center" vertical="top" wrapText="1"/>
    </xf>
    <xf numFmtId="0" fontId="1" fillId="10" borderId="1" xfId="0" applyNumberFormat="1" applyFont="1" applyFill="1" applyBorder="1" applyAlignment="1">
      <alignment horizontal="center" vertical="top" wrapText="1"/>
    </xf>
    <xf numFmtId="0" fontId="2" fillId="2" borderId="1" xfId="0" applyNumberFormat="1" applyFont="1" applyFill="1" applyBorder="1" applyAlignment="1">
      <alignment horizontal="center" vertical="top" wrapText="1"/>
    </xf>
    <xf numFmtId="0" fontId="2" fillId="0" borderId="1" xfId="0" applyNumberFormat="1" applyFont="1" applyFill="1" applyBorder="1" applyAlignment="1">
      <alignment horizontal="center" vertical="top" wrapText="1"/>
    </xf>
    <xf numFmtId="0" fontId="2" fillId="3" borderId="1" xfId="0" applyNumberFormat="1" applyFont="1" applyFill="1" applyBorder="1" applyAlignment="1">
      <alignment horizontal="center" vertical="top" wrapText="1"/>
    </xf>
    <xf numFmtId="0" fontId="2" fillId="3" borderId="1" xfId="0" applyNumberFormat="1" applyFont="1" applyFill="1" applyBorder="1" applyAlignment="1">
      <alignment horizontal="left" vertical="top" wrapText="1"/>
    </xf>
    <xf numFmtId="0" fontId="2" fillId="4" borderId="1" xfId="0" applyNumberFormat="1" applyFont="1" applyFill="1" applyBorder="1" applyAlignment="1">
      <alignment horizontal="center" vertical="top" wrapText="1"/>
    </xf>
    <xf numFmtId="0" fontId="2" fillId="5" borderId="1" xfId="0" applyNumberFormat="1" applyFont="1" applyFill="1" applyBorder="1" applyAlignment="1">
      <alignment horizontal="center" vertical="top" wrapText="1"/>
    </xf>
    <xf numFmtId="0" fontId="2" fillId="6" borderId="1" xfId="0" applyNumberFormat="1" applyFont="1" applyFill="1" applyBorder="1" applyAlignment="1">
      <alignment horizontal="center" vertical="top" wrapText="1"/>
    </xf>
    <xf numFmtId="0" fontId="2" fillId="7" borderId="1" xfId="0" applyNumberFormat="1" applyFont="1" applyFill="1" applyBorder="1" applyAlignment="1">
      <alignment horizontal="center" vertical="top" wrapText="1"/>
    </xf>
    <xf numFmtId="0" fontId="2" fillId="8" borderId="1" xfId="0" applyNumberFormat="1" applyFont="1" applyFill="1" applyBorder="1" applyAlignment="1">
      <alignment horizontal="center" vertical="top" wrapText="1"/>
    </xf>
    <xf numFmtId="0" fontId="2" fillId="9" borderId="1" xfId="0" applyNumberFormat="1" applyFont="1" applyFill="1" applyBorder="1" applyAlignment="1">
      <alignment horizontal="center" vertical="top" wrapText="1"/>
    </xf>
    <xf numFmtId="0" fontId="2" fillId="10" borderId="1" xfId="0" applyNumberFormat="1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NumberFormat="1" applyFont="1" applyFill="1" applyBorder="1" applyAlignment="1">
      <alignment horizontal="center" vertical="center" wrapText="1"/>
    </xf>
    <xf numFmtId="0" fontId="2" fillId="6" borderId="1" xfId="0" applyNumberFormat="1" applyFont="1" applyFill="1" applyBorder="1" applyAlignment="1">
      <alignment horizontal="center" vertical="center" wrapText="1"/>
    </xf>
    <xf numFmtId="0" fontId="2" fillId="7" borderId="1" xfId="0" applyNumberFormat="1" applyFont="1" applyFill="1" applyBorder="1" applyAlignment="1">
      <alignment horizontal="center" vertical="center" wrapText="1"/>
    </xf>
    <xf numFmtId="0" fontId="2" fillId="8" borderId="1" xfId="0" applyNumberFormat="1" applyFont="1" applyFill="1" applyBorder="1" applyAlignment="1">
      <alignment horizontal="center" vertical="center" wrapText="1"/>
    </xf>
    <xf numFmtId="0" fontId="2" fillId="9" borderId="1" xfId="0" applyNumberFormat="1" applyFont="1" applyFill="1" applyBorder="1" applyAlignment="1">
      <alignment horizontal="center" vertical="center" wrapText="1"/>
    </xf>
    <xf numFmtId="0" fontId="2" fillId="10" borderId="1" xfId="0" applyNumberFormat="1" applyFont="1" applyFill="1" applyBorder="1" applyAlignment="1">
      <alignment horizontal="center" vertical="center" wrapText="1"/>
    </xf>
    <xf numFmtId="0" fontId="0" fillId="11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top" wrapText="1"/>
    </xf>
    <xf numFmtId="177" fontId="0" fillId="0" borderId="0" xfId="0" applyNumberForma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"/>
  <sheetViews>
    <sheetView tabSelected="1" workbookViewId="0">
      <selection activeCell="E18" sqref="E$1:E$1048576"/>
    </sheetView>
  </sheetViews>
  <sheetFormatPr defaultColWidth="9" defaultRowHeight="16.8"/>
  <cols>
    <col min="1" max="2" width="9" style="26"/>
    <col min="3" max="3" width="12.8828125" customWidth="1"/>
    <col min="4" max="4" width="14.3203125" customWidth="1"/>
    <col min="5" max="5" width="9" style="26"/>
    <col min="7" max="7" width="12.6875"/>
    <col min="9" max="9" width="18.484375" customWidth="1"/>
  </cols>
  <sheetData>
    <row r="1" s="26" customFormat="1" ht="17" spans="1:6">
      <c r="A1" s="26" t="s">
        <v>0</v>
      </c>
      <c r="B1" s="26" t="s">
        <v>1</v>
      </c>
      <c r="C1" s="26" t="s">
        <v>2</v>
      </c>
      <c r="D1" s="26" t="s">
        <v>3</v>
      </c>
      <c r="E1" s="27" t="s">
        <v>4</v>
      </c>
      <c r="F1" s="26" t="s">
        <v>5</v>
      </c>
    </row>
    <row r="2" ht="18" spans="1:6">
      <c r="A2" s="28" t="s">
        <v>6</v>
      </c>
      <c r="B2" s="29">
        <v>13</v>
      </c>
      <c r="C2" t="s">
        <v>7</v>
      </c>
      <c r="D2">
        <v>72</v>
      </c>
      <c r="E2" s="26">
        <v>13</v>
      </c>
    </row>
    <row r="3" ht="18" spans="1:6">
      <c r="A3" s="30" t="s">
        <v>8</v>
      </c>
      <c r="B3" s="29">
        <v>8</v>
      </c>
      <c r="C3" t="s">
        <v>7</v>
      </c>
      <c r="D3">
        <v>72</v>
      </c>
      <c r="E3" s="29">
        <v>8</v>
      </c>
    </row>
    <row r="4" ht="18" spans="1:6">
      <c r="A4" s="30" t="s">
        <v>9</v>
      </c>
      <c r="B4" s="29">
        <v>8</v>
      </c>
      <c r="C4" t="s">
        <v>7</v>
      </c>
      <c r="D4">
        <v>72</v>
      </c>
      <c r="E4" s="29">
        <v>8</v>
      </c>
    </row>
    <row r="5" ht="18" spans="1:6">
      <c r="A5" s="30" t="s">
        <v>10</v>
      </c>
      <c r="B5" s="29">
        <v>8</v>
      </c>
      <c r="C5" t="s">
        <v>7</v>
      </c>
      <c r="D5">
        <v>72</v>
      </c>
      <c r="E5" s="29">
        <v>8</v>
      </c>
    </row>
    <row r="6" ht="18" spans="1:6">
      <c r="A6" s="30" t="s">
        <v>11</v>
      </c>
      <c r="B6" s="29">
        <v>8</v>
      </c>
      <c r="C6" t="s">
        <v>7</v>
      </c>
      <c r="D6">
        <v>72</v>
      </c>
      <c r="E6" s="29">
        <v>8</v>
      </c>
    </row>
    <row r="7" ht="18" spans="1:6">
      <c r="A7" s="31" t="s">
        <v>12</v>
      </c>
      <c r="B7" s="29">
        <v>9</v>
      </c>
      <c r="C7" t="s">
        <v>7</v>
      </c>
      <c r="D7">
        <v>72</v>
      </c>
      <c r="E7" s="29">
        <v>9</v>
      </c>
    </row>
    <row r="8" ht="18" spans="1:6">
      <c r="A8" s="31" t="s">
        <v>13</v>
      </c>
      <c r="B8" s="29">
        <v>9</v>
      </c>
      <c r="C8" t="s">
        <v>7</v>
      </c>
      <c r="D8">
        <v>72</v>
      </c>
      <c r="E8" s="29">
        <v>9</v>
      </c>
    </row>
    <row r="9" ht="18" spans="1:6">
      <c r="A9" s="32" t="s">
        <v>14</v>
      </c>
      <c r="B9" s="29">
        <v>14</v>
      </c>
      <c r="C9" t="s">
        <v>7</v>
      </c>
      <c r="D9">
        <v>72</v>
      </c>
      <c r="E9" s="26">
        <v>14</v>
      </c>
    </row>
    <row r="10" ht="18" spans="1:6">
      <c r="A10" s="32" t="s">
        <v>15</v>
      </c>
      <c r="B10" s="29">
        <v>14</v>
      </c>
      <c r="C10" t="s">
        <v>7</v>
      </c>
      <c r="D10">
        <v>72</v>
      </c>
      <c r="E10" s="26">
        <v>14</v>
      </c>
    </row>
    <row r="11" ht="18" spans="1:6">
      <c r="A11" s="33" t="s">
        <v>16</v>
      </c>
      <c r="B11" s="29">
        <v>14</v>
      </c>
      <c r="C11" t="s">
        <v>7</v>
      </c>
      <c r="D11">
        <v>72</v>
      </c>
      <c r="E11" s="26">
        <v>14</v>
      </c>
    </row>
    <row r="12" ht="18" spans="1:6">
      <c r="A12" s="34" t="s">
        <v>17</v>
      </c>
      <c r="B12" s="29">
        <v>8</v>
      </c>
      <c r="C12" t="s">
        <v>7</v>
      </c>
      <c r="D12">
        <v>72</v>
      </c>
      <c r="E12" s="26">
        <v>8</v>
      </c>
    </row>
    <row r="13" ht="18" spans="1:6">
      <c r="A13" s="34" t="s">
        <v>18</v>
      </c>
      <c r="B13" s="29">
        <v>8</v>
      </c>
      <c r="C13" t="s">
        <v>7</v>
      </c>
      <c r="D13">
        <v>72</v>
      </c>
      <c r="E13" s="26">
        <v>8</v>
      </c>
    </row>
    <row r="14" ht="18" spans="1:6">
      <c r="A14" s="34" t="s">
        <v>19</v>
      </c>
      <c r="B14" s="29">
        <v>8</v>
      </c>
      <c r="C14" t="s">
        <v>7</v>
      </c>
      <c r="D14">
        <v>72</v>
      </c>
      <c r="E14" s="26">
        <v>8</v>
      </c>
    </row>
    <row r="15" ht="18" spans="1:6">
      <c r="A15" s="35" t="s">
        <v>20</v>
      </c>
      <c r="B15" s="29">
        <v>8</v>
      </c>
      <c r="C15" t="s">
        <v>7</v>
      </c>
      <c r="D15">
        <v>72</v>
      </c>
      <c r="E15" s="26">
        <v>8</v>
      </c>
    </row>
    <row r="16" ht="18" spans="1:6">
      <c r="A16" s="35" t="s">
        <v>21</v>
      </c>
      <c r="B16" s="29">
        <v>8</v>
      </c>
      <c r="C16" t="s">
        <v>7</v>
      </c>
      <c r="D16">
        <v>72</v>
      </c>
      <c r="E16" s="26">
        <v>8</v>
      </c>
    </row>
    <row r="17" ht="18" spans="1:10">
      <c r="A17" s="35" t="s">
        <v>22</v>
      </c>
      <c r="B17" s="29">
        <v>8</v>
      </c>
      <c r="C17" t="s">
        <v>7</v>
      </c>
      <c r="D17">
        <v>72</v>
      </c>
      <c r="E17" s="26">
        <v>8</v>
      </c>
    </row>
    <row r="18" ht="18" spans="1:10">
      <c r="A18" s="36" t="s">
        <v>23</v>
      </c>
      <c r="B18" s="29">
        <v>7</v>
      </c>
      <c r="C18" t="s">
        <v>7</v>
      </c>
      <c r="D18">
        <v>72</v>
      </c>
      <c r="E18" s="29">
        <v>7</v>
      </c>
    </row>
    <row r="19" ht="18" spans="1:10">
      <c r="A19" s="35" t="s">
        <v>24</v>
      </c>
      <c r="B19" s="29">
        <v>17</v>
      </c>
      <c r="C19" t="s">
        <v>7</v>
      </c>
      <c r="D19">
        <v>72</v>
      </c>
      <c r="E19" s="29">
        <v>17</v>
      </c>
    </row>
    <row r="20" ht="18" spans="1:10">
      <c r="A20" s="37" t="s">
        <v>25</v>
      </c>
      <c r="B20" s="29">
        <v>14</v>
      </c>
      <c r="C20" t="s">
        <v>7</v>
      </c>
      <c r="D20">
        <v>72</v>
      </c>
      <c r="E20" s="26">
        <v>14</v>
      </c>
    </row>
    <row r="21" ht="18" spans="1:10">
      <c r="A21" s="30" t="s">
        <v>26</v>
      </c>
      <c r="B21" s="29">
        <v>24</v>
      </c>
      <c r="C21" t="s">
        <v>7</v>
      </c>
      <c r="D21">
        <v>72</v>
      </c>
      <c r="E21" s="29">
        <v>24</v>
      </c>
    </row>
    <row r="22" ht="17" spans="1:10">
      <c r="A22" s="26" t="s">
        <v>27</v>
      </c>
      <c r="B22" s="26">
        <v>14</v>
      </c>
      <c r="C22" t="s">
        <v>7</v>
      </c>
      <c r="D22">
        <v>72</v>
      </c>
      <c r="E22" s="26">
        <v>14</v>
      </c>
    </row>
    <row r="23" ht="17" spans="1:10">
      <c r="A23" s="26" t="s">
        <v>28</v>
      </c>
      <c r="B23" s="26">
        <v>14</v>
      </c>
      <c r="C23" t="s">
        <v>7</v>
      </c>
      <c r="D23">
        <v>72</v>
      </c>
      <c r="E23" s="26">
        <v>14</v>
      </c>
    </row>
    <row r="24" ht="17" spans="1:10">
      <c r="A24" s="26" t="s">
        <v>29</v>
      </c>
      <c r="B24" s="26">
        <v>6</v>
      </c>
      <c r="C24" t="s">
        <v>7</v>
      </c>
      <c r="D24">
        <v>72</v>
      </c>
      <c r="E24" s="26">
        <v>6</v>
      </c>
    </row>
    <row r="25" ht="17" spans="1:10">
      <c r="A25" s="26" t="s">
        <v>30</v>
      </c>
      <c r="B25" s="26">
        <v>6</v>
      </c>
      <c r="C25" t="s">
        <v>7</v>
      </c>
      <c r="D25">
        <v>72</v>
      </c>
      <c r="E25" s="26">
        <v>6</v>
      </c>
    </row>
    <row r="26" ht="17" spans="1:10">
      <c r="A26" s="26" t="s">
        <v>31</v>
      </c>
      <c r="B26" s="26">
        <v>10</v>
      </c>
      <c r="C26" t="s">
        <v>7</v>
      </c>
      <c r="D26">
        <v>72</v>
      </c>
      <c r="E26" s="26">
        <v>10</v>
      </c>
    </row>
    <row r="27" ht="17" spans="1:10">
      <c r="A27" s="26" t="s">
        <v>32</v>
      </c>
      <c r="B27" s="26">
        <v>10</v>
      </c>
      <c r="C27" t="s">
        <v>7</v>
      </c>
      <c r="D27">
        <v>72</v>
      </c>
      <c r="E27" s="26">
        <v>10</v>
      </c>
    </row>
    <row r="28" ht="17" spans="1:10">
      <c r="A28" s="26" t="s">
        <v>33</v>
      </c>
      <c r="B28" s="26">
        <v>0</v>
      </c>
      <c r="C28" t="s">
        <v>7</v>
      </c>
      <c r="D28">
        <v>84</v>
      </c>
      <c r="E28" s="26">
        <v>12</v>
      </c>
    </row>
    <row r="29" ht="17" spans="1:10">
      <c r="A29" s="26" t="s">
        <v>34</v>
      </c>
      <c r="B29" s="26">
        <v>-34</v>
      </c>
      <c r="C29" t="s">
        <v>7</v>
      </c>
      <c r="D29">
        <v>120</v>
      </c>
      <c r="E29" s="26">
        <v>14</v>
      </c>
    </row>
    <row r="30" ht="17" spans="1:10">
      <c r="A30" s="38" t="s">
        <v>35</v>
      </c>
      <c r="B30" s="26">
        <v>24</v>
      </c>
      <c r="C30" t="s">
        <v>36</v>
      </c>
      <c r="D30">
        <v>72</v>
      </c>
      <c r="E30" s="39">
        <v>13</v>
      </c>
      <c r="F30">
        <v>434</v>
      </c>
      <c r="G30" s="40">
        <f>F30/35</f>
        <v>12.4</v>
      </c>
      <c r="I30">
        <v>12.4</v>
      </c>
      <c r="J30">
        <v>13</v>
      </c>
    </row>
    <row r="31" ht="17" spans="1:10">
      <c r="A31" s="38" t="s">
        <v>37</v>
      </c>
      <c r="B31" s="26">
        <v>24</v>
      </c>
      <c r="C31" t="s">
        <v>36</v>
      </c>
      <c r="D31">
        <v>72</v>
      </c>
      <c r="E31" s="39">
        <v>13</v>
      </c>
      <c r="F31">
        <v>434</v>
      </c>
      <c r="G31" s="40">
        <f t="shared" ref="G31:G47" si="0">F31/35</f>
        <v>12.4</v>
      </c>
      <c r="I31">
        <v>12.4</v>
      </c>
      <c r="J31">
        <v>13</v>
      </c>
    </row>
    <row r="32" ht="17" spans="1:10">
      <c r="A32" s="38" t="s">
        <v>38</v>
      </c>
      <c r="B32" s="26">
        <v>24</v>
      </c>
      <c r="C32" t="s">
        <v>36</v>
      </c>
      <c r="D32">
        <v>72</v>
      </c>
      <c r="E32" s="39">
        <v>7</v>
      </c>
      <c r="F32">
        <v>213</v>
      </c>
      <c r="G32" s="40">
        <f t="shared" si="0"/>
        <v>6.08571428571429</v>
      </c>
      <c r="I32">
        <v>6.08571428571429</v>
      </c>
      <c r="J32">
        <v>7</v>
      </c>
    </row>
    <row r="33" ht="17" spans="1:10">
      <c r="A33" s="38" t="s">
        <v>39</v>
      </c>
      <c r="B33" s="26">
        <v>24</v>
      </c>
      <c r="C33" t="s">
        <v>36</v>
      </c>
      <c r="D33">
        <v>72</v>
      </c>
      <c r="E33" s="39">
        <v>7</v>
      </c>
      <c r="F33">
        <v>213</v>
      </c>
      <c r="G33" s="40">
        <f t="shared" si="0"/>
        <v>6.08571428571429</v>
      </c>
      <c r="I33">
        <v>6.08571428571429</v>
      </c>
      <c r="J33">
        <v>7</v>
      </c>
    </row>
    <row r="34" ht="17.6" spans="1:10">
      <c r="A34" s="41" t="s">
        <v>40</v>
      </c>
      <c r="B34" s="26">
        <v>24</v>
      </c>
      <c r="C34" t="s">
        <v>36</v>
      </c>
      <c r="D34">
        <v>72</v>
      </c>
      <c r="E34" s="39">
        <v>5</v>
      </c>
      <c r="F34">
        <v>172</v>
      </c>
      <c r="G34" s="40">
        <f t="shared" si="0"/>
        <v>4.91428571428571</v>
      </c>
      <c r="I34">
        <v>4.91428571428571</v>
      </c>
      <c r="J34">
        <v>5</v>
      </c>
    </row>
    <row r="35" ht="17.6" spans="1:10">
      <c r="A35" s="41" t="s">
        <v>41</v>
      </c>
      <c r="B35" s="26">
        <v>24</v>
      </c>
      <c r="C35" t="s">
        <v>36</v>
      </c>
      <c r="D35">
        <v>72</v>
      </c>
      <c r="E35" s="39">
        <v>5</v>
      </c>
      <c r="F35">
        <v>172</v>
      </c>
      <c r="G35" s="40">
        <f t="shared" si="0"/>
        <v>4.91428571428571</v>
      </c>
      <c r="I35">
        <v>4.91428571428571</v>
      </c>
      <c r="J35">
        <v>5</v>
      </c>
    </row>
    <row r="36" ht="17.6" spans="1:10">
      <c r="A36" s="41" t="s">
        <v>42</v>
      </c>
      <c r="B36" s="26">
        <v>24</v>
      </c>
      <c r="C36" t="s">
        <v>36</v>
      </c>
      <c r="D36">
        <v>72</v>
      </c>
      <c r="E36" s="39">
        <v>6</v>
      </c>
      <c r="F36">
        <v>180</v>
      </c>
      <c r="G36" s="40">
        <f t="shared" si="0"/>
        <v>5.14285714285714</v>
      </c>
      <c r="I36">
        <v>5.14285714285714</v>
      </c>
      <c r="J36">
        <v>6</v>
      </c>
    </row>
    <row r="37" ht="17.6" spans="1:10">
      <c r="A37" s="41" t="s">
        <v>43</v>
      </c>
      <c r="B37" s="26">
        <v>24</v>
      </c>
      <c r="C37" t="s">
        <v>36</v>
      </c>
      <c r="D37">
        <v>72</v>
      </c>
      <c r="E37" s="39">
        <v>8</v>
      </c>
      <c r="F37">
        <v>248</v>
      </c>
      <c r="G37" s="40">
        <f t="shared" si="0"/>
        <v>7.08571428571429</v>
      </c>
      <c r="I37">
        <v>7.08571428571429</v>
      </c>
      <c r="J37">
        <v>8</v>
      </c>
    </row>
    <row r="38" ht="17.6" spans="1:10">
      <c r="A38" s="41" t="s">
        <v>44</v>
      </c>
      <c r="B38" s="26">
        <v>24</v>
      </c>
      <c r="C38" t="s">
        <v>36</v>
      </c>
      <c r="D38">
        <v>74</v>
      </c>
      <c r="E38" s="39">
        <v>25</v>
      </c>
      <c r="F38">
        <v>588</v>
      </c>
      <c r="G38" s="40">
        <f t="shared" si="0"/>
        <v>16.8</v>
      </c>
      <c r="H38">
        <v>8</v>
      </c>
      <c r="I38">
        <f>G38+H38</f>
        <v>24.8</v>
      </c>
      <c r="J38">
        <v>25</v>
      </c>
    </row>
    <row r="39" ht="17.6" spans="1:10">
      <c r="A39" s="41" t="s">
        <v>45</v>
      </c>
      <c r="B39" s="26">
        <v>24</v>
      </c>
      <c r="C39" t="s">
        <v>36</v>
      </c>
      <c r="D39">
        <v>74</v>
      </c>
      <c r="E39" s="39">
        <v>26</v>
      </c>
      <c r="F39">
        <v>605</v>
      </c>
      <c r="G39" s="40">
        <f t="shared" si="0"/>
        <v>17.2857142857143</v>
      </c>
      <c r="H39">
        <v>8</v>
      </c>
      <c r="I39">
        <f t="shared" ref="I39:I46" si="1">G39+H39</f>
        <v>25.2857142857143</v>
      </c>
      <c r="J39">
        <v>26</v>
      </c>
    </row>
    <row r="40" ht="17.6" spans="1:10">
      <c r="A40" s="41" t="s">
        <v>46</v>
      </c>
      <c r="B40" s="26">
        <v>24</v>
      </c>
      <c r="C40" t="s">
        <v>36</v>
      </c>
      <c r="D40">
        <v>74</v>
      </c>
      <c r="E40" s="39">
        <v>28</v>
      </c>
      <c r="F40">
        <v>685</v>
      </c>
      <c r="G40" s="40">
        <f t="shared" si="0"/>
        <v>19.5714285714286</v>
      </c>
      <c r="H40">
        <v>8</v>
      </c>
      <c r="I40">
        <f t="shared" si="1"/>
        <v>27.5714285714286</v>
      </c>
      <c r="J40">
        <v>28</v>
      </c>
    </row>
    <row r="41" ht="17.6" spans="1:10">
      <c r="A41" s="41" t="s">
        <v>47</v>
      </c>
      <c r="B41" s="26">
        <v>24</v>
      </c>
      <c r="C41" t="s">
        <v>36</v>
      </c>
      <c r="D41">
        <v>74</v>
      </c>
      <c r="E41" s="39">
        <v>30</v>
      </c>
      <c r="F41">
        <v>763</v>
      </c>
      <c r="G41" s="40">
        <f t="shared" si="0"/>
        <v>21.8</v>
      </c>
      <c r="H41">
        <v>8</v>
      </c>
      <c r="I41">
        <f t="shared" si="1"/>
        <v>29.8</v>
      </c>
      <c r="J41">
        <v>30</v>
      </c>
    </row>
    <row r="42" ht="17.6" spans="1:10">
      <c r="A42" s="41" t="s">
        <v>48</v>
      </c>
      <c r="B42" s="26">
        <v>24</v>
      </c>
      <c r="C42" t="s">
        <v>36</v>
      </c>
      <c r="D42">
        <v>74</v>
      </c>
      <c r="E42" s="39">
        <v>30</v>
      </c>
      <c r="F42">
        <v>766</v>
      </c>
      <c r="G42" s="40">
        <f t="shared" si="0"/>
        <v>21.8857142857143</v>
      </c>
      <c r="H42">
        <v>8</v>
      </c>
      <c r="I42">
        <f t="shared" si="1"/>
        <v>29.8857142857143</v>
      </c>
      <c r="J42">
        <v>30</v>
      </c>
    </row>
    <row r="43" ht="17.6" spans="1:10">
      <c r="A43" s="41" t="s">
        <v>49</v>
      </c>
      <c r="B43" s="26">
        <v>24</v>
      </c>
      <c r="C43" t="s">
        <v>36</v>
      </c>
      <c r="D43">
        <v>74</v>
      </c>
      <c r="E43" s="39">
        <v>24</v>
      </c>
      <c r="F43">
        <v>557</v>
      </c>
      <c r="G43" s="40">
        <f t="shared" si="0"/>
        <v>15.9142857142857</v>
      </c>
      <c r="H43">
        <v>8</v>
      </c>
      <c r="I43">
        <f t="shared" si="1"/>
        <v>23.9142857142857</v>
      </c>
      <c r="J43">
        <v>24</v>
      </c>
    </row>
    <row r="44" ht="17.6" spans="1:10">
      <c r="A44" s="41" t="s">
        <v>50</v>
      </c>
      <c r="B44" s="26">
        <v>24</v>
      </c>
      <c r="C44" t="s">
        <v>36</v>
      </c>
      <c r="D44">
        <v>72</v>
      </c>
      <c r="E44" s="39">
        <v>23</v>
      </c>
      <c r="F44">
        <v>500</v>
      </c>
      <c r="G44" s="40">
        <f t="shared" si="0"/>
        <v>14.2857142857143</v>
      </c>
      <c r="H44">
        <v>8</v>
      </c>
      <c r="I44">
        <f t="shared" si="1"/>
        <v>22.2857142857143</v>
      </c>
      <c r="J44">
        <v>23</v>
      </c>
    </row>
    <row r="45" ht="17.6" spans="1:10">
      <c r="A45" s="41" t="s">
        <v>51</v>
      </c>
      <c r="B45" s="26">
        <v>24</v>
      </c>
      <c r="C45" t="s">
        <v>36</v>
      </c>
      <c r="D45">
        <v>74</v>
      </c>
      <c r="E45" s="39">
        <v>30</v>
      </c>
      <c r="F45">
        <v>766</v>
      </c>
      <c r="G45" s="40">
        <f t="shared" si="0"/>
        <v>21.8857142857143</v>
      </c>
      <c r="H45">
        <v>8</v>
      </c>
      <c r="I45">
        <f t="shared" si="1"/>
        <v>29.8857142857143</v>
      </c>
      <c r="J45">
        <v>30</v>
      </c>
    </row>
    <row r="46" ht="17.6" spans="1:10">
      <c r="A46" s="41" t="s">
        <v>52</v>
      </c>
      <c r="B46" s="26">
        <v>24</v>
      </c>
      <c r="C46" t="s">
        <v>36</v>
      </c>
      <c r="D46">
        <v>74</v>
      </c>
      <c r="E46" s="39">
        <v>28</v>
      </c>
      <c r="F46">
        <v>685</v>
      </c>
      <c r="G46" s="40">
        <f t="shared" si="0"/>
        <v>19.5714285714286</v>
      </c>
      <c r="H46">
        <v>8</v>
      </c>
      <c r="I46">
        <f t="shared" si="1"/>
        <v>27.5714285714286</v>
      </c>
      <c r="J46">
        <v>28</v>
      </c>
    </row>
    <row r="47" ht="17.6" spans="1:10">
      <c r="A47" s="41" t="s">
        <v>53</v>
      </c>
      <c r="B47" s="26">
        <v>24</v>
      </c>
      <c r="C47" t="s">
        <v>36</v>
      </c>
      <c r="D47">
        <v>72</v>
      </c>
      <c r="E47" s="39">
        <v>8</v>
      </c>
      <c r="F47">
        <v>248</v>
      </c>
      <c r="G47" s="40">
        <f t="shared" si="0"/>
        <v>7.08571428571429</v>
      </c>
      <c r="I47">
        <v>7.08571428571429</v>
      </c>
      <c r="J47">
        <v>8</v>
      </c>
    </row>
  </sheetData>
  <autoFilter xmlns:etc="http://www.wps.cn/officeDocument/2017/etCustomData" ref="A1:D4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workbookViewId="0">
      <selection activeCell="A37" sqref="A37"/>
    </sheetView>
  </sheetViews>
  <sheetFormatPr defaultColWidth="9" defaultRowHeight="16.8" outlineLevelCol="6"/>
  <cols>
    <col min="1" max="1" width="71.125" customWidth="1"/>
    <col min="2" max="2" width="9.2265625" customWidth="1"/>
    <col min="3" max="3" width="10.75" customWidth="1"/>
    <col min="4" max="4" width="9.25" customWidth="1"/>
    <col min="5" max="5" width="9.0859375" customWidth="1"/>
    <col min="6" max="6" width="9.25" customWidth="1"/>
    <col min="7" max="7" width="8.9609375" customWidth="1"/>
  </cols>
  <sheetData>
    <row r="1" ht="16.25" customHeight="1" spans="1:7">
      <c r="A1" s="1" t="s">
        <v>54</v>
      </c>
      <c r="B1" s="2" t="s">
        <v>55</v>
      </c>
      <c r="C1" s="2" t="s">
        <v>56</v>
      </c>
      <c r="D1" s="2" t="s">
        <v>57</v>
      </c>
      <c r="E1" s="3"/>
      <c r="F1" s="3"/>
      <c r="G1" s="3"/>
    </row>
    <row r="2" ht="16.5" customHeight="1" spans="1:7">
      <c r="A2" s="1" t="s">
        <v>58</v>
      </c>
      <c r="B2" s="4">
        <v>25309</v>
      </c>
      <c r="C2" s="1" t="s">
        <v>59</v>
      </c>
      <c r="D2" s="5" t="s">
        <v>6</v>
      </c>
      <c r="E2" s="3"/>
      <c r="F2" s="3"/>
      <c r="G2" s="3"/>
    </row>
    <row r="3" ht="16.5" customHeight="1" spans="1:7">
      <c r="A3" s="1" t="s">
        <v>60</v>
      </c>
      <c r="B3" s="4">
        <v>55121</v>
      </c>
      <c r="C3" s="1" t="s">
        <v>61</v>
      </c>
      <c r="D3" s="6" t="s">
        <v>8</v>
      </c>
      <c r="E3" s="6" t="s">
        <v>9</v>
      </c>
      <c r="F3" s="6" t="s">
        <v>10</v>
      </c>
      <c r="G3" s="7" t="s">
        <v>11</v>
      </c>
    </row>
    <row r="4" ht="17" customHeight="1" spans="1:7">
      <c r="A4" s="2" t="s">
        <v>62</v>
      </c>
      <c r="B4" s="4">
        <v>50395</v>
      </c>
      <c r="C4" s="1" t="s">
        <v>63</v>
      </c>
      <c r="D4" s="8" t="s">
        <v>12</v>
      </c>
      <c r="E4" s="8" t="s">
        <v>13</v>
      </c>
      <c r="F4" s="3"/>
      <c r="G4" s="3"/>
    </row>
    <row r="5" ht="16" customHeight="1" spans="1:7">
      <c r="A5" s="1" t="s">
        <v>64</v>
      </c>
      <c r="B5" s="4">
        <v>66106</v>
      </c>
      <c r="C5" s="1" t="s">
        <v>65</v>
      </c>
      <c r="D5" s="9" t="s">
        <v>14</v>
      </c>
      <c r="E5" s="9" t="s">
        <v>15</v>
      </c>
      <c r="F5" s="3"/>
      <c r="G5" s="3"/>
    </row>
    <row r="6" ht="16.5" customHeight="1" spans="1:7">
      <c r="A6" s="1" t="s">
        <v>66</v>
      </c>
      <c r="B6" s="4">
        <v>38136</v>
      </c>
      <c r="C6" s="1" t="s">
        <v>67</v>
      </c>
      <c r="D6" s="10" t="s">
        <v>16</v>
      </c>
      <c r="E6" s="3"/>
      <c r="F6" s="3"/>
      <c r="G6" s="3"/>
    </row>
    <row r="7" ht="16.5" customHeight="1" spans="1:7">
      <c r="A7" s="1" t="s">
        <v>68</v>
      </c>
      <c r="B7" s="4">
        <v>48101</v>
      </c>
      <c r="C7" s="1" t="s">
        <v>61</v>
      </c>
      <c r="D7" s="11" t="s">
        <v>17</v>
      </c>
      <c r="E7" s="11" t="s">
        <v>18</v>
      </c>
      <c r="F7" s="11" t="s">
        <v>19</v>
      </c>
      <c r="G7" s="3"/>
    </row>
    <row r="8" ht="16" customHeight="1" spans="1:7">
      <c r="A8" s="1" t="s">
        <v>69</v>
      </c>
      <c r="B8" s="4">
        <v>63042</v>
      </c>
      <c r="C8" s="1" t="s">
        <v>61</v>
      </c>
      <c r="D8" s="12" t="s">
        <v>20</v>
      </c>
      <c r="E8" s="12" t="s">
        <v>21</v>
      </c>
      <c r="F8" s="12" t="s">
        <v>22</v>
      </c>
      <c r="G8" s="3"/>
    </row>
    <row r="9" ht="17" customHeight="1" spans="1:7">
      <c r="A9" s="2" t="s">
        <v>70</v>
      </c>
      <c r="B9" s="4">
        <v>49512</v>
      </c>
      <c r="C9" s="1" t="s">
        <v>71</v>
      </c>
      <c r="D9" s="13" t="s">
        <v>23</v>
      </c>
      <c r="E9" s="3"/>
      <c r="F9" s="3"/>
      <c r="G9" s="3"/>
    </row>
    <row r="10" ht="16.5" customHeight="1" spans="1:7">
      <c r="A10" s="2" t="s">
        <v>72</v>
      </c>
      <c r="B10" s="4">
        <v>30268</v>
      </c>
      <c r="C10" s="1" t="s">
        <v>73</v>
      </c>
      <c r="D10" s="12" t="s">
        <v>24</v>
      </c>
      <c r="E10" s="3"/>
      <c r="F10" s="3"/>
      <c r="G10" s="3"/>
    </row>
    <row r="11" ht="16" customHeight="1" spans="1:7">
      <c r="A11" s="1" t="s">
        <v>74</v>
      </c>
      <c r="B11" s="4">
        <v>35222</v>
      </c>
      <c r="C11" s="1" t="s">
        <v>67</v>
      </c>
      <c r="D11" s="14" t="s">
        <v>25</v>
      </c>
      <c r="E11" s="3"/>
      <c r="F11" s="3"/>
      <c r="G11" s="3"/>
    </row>
    <row r="12" ht="16.25" customHeight="1" spans="1:7">
      <c r="A12" s="2" t="s">
        <v>75</v>
      </c>
      <c r="B12" s="4">
        <v>36602</v>
      </c>
      <c r="C12" s="1" t="s">
        <v>76</v>
      </c>
      <c r="D12" s="6" t="s">
        <v>26</v>
      </c>
      <c r="E12" s="3"/>
      <c r="F12" s="3"/>
      <c r="G12" s="3"/>
    </row>
    <row r="19" ht="18" spans="4:5">
      <c r="D19" s="15" t="s">
        <v>6</v>
      </c>
      <c r="E19" s="16" t="s">
        <v>59</v>
      </c>
    </row>
    <row r="20" ht="18" spans="4:5">
      <c r="D20" s="17" t="s">
        <v>8</v>
      </c>
      <c r="E20" s="16" t="s">
        <v>61</v>
      </c>
    </row>
    <row r="21" ht="18" spans="4:5">
      <c r="D21" s="17" t="s">
        <v>9</v>
      </c>
      <c r="E21" s="16" t="s">
        <v>61</v>
      </c>
    </row>
    <row r="22" ht="18" spans="4:5">
      <c r="D22" s="17" t="s">
        <v>10</v>
      </c>
      <c r="E22" s="16" t="s">
        <v>61</v>
      </c>
    </row>
    <row r="23" ht="18" spans="4:5">
      <c r="D23" s="18" t="s">
        <v>11</v>
      </c>
      <c r="E23" s="16" t="s">
        <v>61</v>
      </c>
    </row>
    <row r="24" ht="18" spans="4:5">
      <c r="D24" s="19" t="s">
        <v>12</v>
      </c>
      <c r="E24" s="16" t="s">
        <v>63</v>
      </c>
    </row>
    <row r="25" ht="18" spans="4:5">
      <c r="D25" s="19" t="s">
        <v>13</v>
      </c>
      <c r="E25" s="16" t="s">
        <v>63</v>
      </c>
    </row>
    <row r="26" ht="18" spans="4:5">
      <c r="D26" s="20" t="s">
        <v>14</v>
      </c>
      <c r="E26" s="16" t="s">
        <v>65</v>
      </c>
    </row>
    <row r="27" ht="18" spans="4:5">
      <c r="D27" s="20" t="s">
        <v>15</v>
      </c>
      <c r="E27" s="16" t="s">
        <v>65</v>
      </c>
    </row>
    <row r="28" ht="18" spans="4:5">
      <c r="D28" s="21" t="s">
        <v>16</v>
      </c>
      <c r="E28" s="16" t="s">
        <v>67</v>
      </c>
    </row>
    <row r="29" ht="18" spans="4:5">
      <c r="D29" s="22" t="s">
        <v>17</v>
      </c>
      <c r="E29" s="16" t="s">
        <v>61</v>
      </c>
    </row>
    <row r="30" ht="18" spans="4:5">
      <c r="D30" s="22" t="s">
        <v>18</v>
      </c>
      <c r="E30" s="16" t="s">
        <v>61</v>
      </c>
    </row>
    <row r="31" ht="18" spans="4:5">
      <c r="D31" s="22" t="s">
        <v>19</v>
      </c>
      <c r="E31" s="16" t="s">
        <v>61</v>
      </c>
    </row>
    <row r="32" ht="18" spans="4:5">
      <c r="D32" s="23" t="s">
        <v>20</v>
      </c>
      <c r="E32" s="16" t="s">
        <v>61</v>
      </c>
    </row>
    <row r="33" ht="18" spans="4:5">
      <c r="D33" s="23" t="s">
        <v>21</v>
      </c>
      <c r="E33" s="16" t="s">
        <v>61</v>
      </c>
    </row>
    <row r="34" ht="18" spans="4:5">
      <c r="D34" s="23" t="s">
        <v>22</v>
      </c>
      <c r="E34" s="16" t="s">
        <v>61</v>
      </c>
    </row>
    <row r="35" ht="18" spans="4:5">
      <c r="D35" s="24" t="s">
        <v>23</v>
      </c>
      <c r="E35" s="16" t="s">
        <v>71</v>
      </c>
    </row>
    <row r="36" ht="18" spans="4:5">
      <c r="D36" s="23" t="s">
        <v>24</v>
      </c>
      <c r="E36" s="16" t="s">
        <v>73</v>
      </c>
    </row>
    <row r="37" ht="18" spans="4:5">
      <c r="D37" s="25" t="s">
        <v>25</v>
      </c>
      <c r="E37" s="16" t="s">
        <v>67</v>
      </c>
    </row>
    <row r="38" ht="18" spans="4:5">
      <c r="D38" s="17" t="s">
        <v>26</v>
      </c>
      <c r="E38" s="16" t="s">
        <v>76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stan</cp:lastModifiedBy>
  <dcterms:created xsi:type="dcterms:W3CDTF">2025-10-06T12:29:00Z</dcterms:created>
  <dcterms:modified xsi:type="dcterms:W3CDTF">2026-01-06T15:02:49Z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2025-10-06T17:29:21Z</vt:filetime>
  </property>
  <property fmtid="{D5CDD505-2E9C-101B-9397-08002B2CF9AE}" pid="4" name="UsrData">
    <vt:lpwstr>68e5781fc306eb001f314814wl</vt:lpwstr>
  </property>
  <property fmtid="{D5CDD505-2E9C-101B-9397-08002B2CF9AE}" pid="5" name="ICV">
    <vt:lpwstr>8BEF693CB8DB68D1F67EE56863E58031_43</vt:lpwstr>
  </property>
  <property fmtid="{D5CDD505-2E9C-101B-9397-08002B2CF9AE}" pid="6" name="KSOProductBuildVer">
    <vt:lpwstr>2052-12.1.24031.24031</vt:lpwstr>
  </property>
  <property fmtid="{D5CDD505-2E9C-101B-9397-08002B2CF9AE}" pid="7" name="CalculationRule">
    <vt:i4>0</vt:i4>
  </property>
</Properties>
</file>